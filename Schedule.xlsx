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ropbox/SPS Dropbox/Jason Bryer/Teaching/DATA606 2026 Spring/"/>
    </mc:Choice>
  </mc:AlternateContent>
  <xr:revisionPtr revIDLastSave="0" documentId="13_ncr:1_{5AB3E56B-D8DE-104A-96C6-0FF15AC28860}" xr6:coauthVersionLast="47" xr6:coauthVersionMax="47" xr10:uidLastSave="{00000000-0000-0000-0000-000000000000}"/>
  <bookViews>
    <workbookView xWindow="1180" yWindow="10920" windowWidth="28760" windowHeight="16060" xr2:uid="{A772458D-4E7B-8249-8B6B-34FE7D5BD316}"/>
  </bookViews>
  <sheets>
    <sheet name="Meetup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A3" i="2" s="1"/>
  <c r="C3" i="2" s="1"/>
  <c r="A4" i="2" s="1"/>
  <c r="C4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5" i="2" l="1"/>
  <c r="C5" i="2" s="1"/>
  <c r="A6" i="2" l="1"/>
  <c r="C6" i="2" s="1"/>
  <c r="A7" i="2" l="1"/>
  <c r="C7" i="2" s="1"/>
  <c r="A8" i="2" l="1"/>
  <c r="C8" i="2" s="1"/>
  <c r="A9" i="2" l="1"/>
  <c r="C9" i="2" l="1"/>
  <c r="A10" i="2" s="1"/>
  <c r="C10" i="2" s="1"/>
  <c r="A11" i="2" s="1"/>
  <c r="C11" i="2" s="1"/>
  <c r="A12" i="2" s="1"/>
  <c r="C12" i="2" l="1"/>
  <c r="A13" i="2" s="1"/>
  <c r="C13" i="2" s="1"/>
  <c r="A14" i="2" s="1"/>
  <c r="C14" i="2" s="1"/>
  <c r="A15" i="2" s="1"/>
  <c r="C15" i="2" s="1"/>
</calcChain>
</file>

<file path=xl/sharedStrings.xml><?xml version="1.0" encoding="utf-8"?>
<sst xmlns="http://schemas.openxmlformats.org/spreadsheetml/2006/main" count="107" uniqueCount="79">
  <si>
    <t>Date</t>
  </si>
  <si>
    <t>Topic</t>
  </si>
  <si>
    <t>Resources</t>
  </si>
  <si>
    <t>Start</t>
  </si>
  <si>
    <t>End</t>
  </si>
  <si>
    <t>StartTime</t>
  </si>
  <si>
    <t>EndTime</t>
  </si>
  <si>
    <t>8:00 pm</t>
  </si>
  <si>
    <t>9:00 pm</t>
  </si>
  <si>
    <t>Link</t>
  </si>
  <si>
    <t>Chatper 2 - Summarizing Data</t>
  </si>
  <si>
    <t>Chapter 3 - Probability</t>
  </si>
  <si>
    <t>Chatper 5 - Foundation for Inference</t>
  </si>
  <si>
    <t>Chapter 6 - Inference for Categorical Data</t>
  </si>
  <si>
    <t>Chapter 7 - Inference for Numerical Data</t>
  </si>
  <si>
    <t>/chatpers/bayesian/</t>
  </si>
  <si>
    <t>Intro to Bayesian Analysis</t>
  </si>
  <si>
    <t>/assesssments/final/</t>
  </si>
  <si>
    <t>Final Exam</t>
  </si>
  <si>
    <t>/chapters/chapter3</t>
  </si>
  <si>
    <t>/chapters/chapter4</t>
  </si>
  <si>
    <t>/chapters/chapter6</t>
  </si>
  <si>
    <t>/chapters/chapter5</t>
  </si>
  <si>
    <t>/chapters/chapter7</t>
  </si>
  <si>
    <t>/chapters/chapter8</t>
  </si>
  <si>
    <t>/chapters/chapter9</t>
  </si>
  <si>
    <t>Intro to Data</t>
  </si>
  <si>
    <t>Probability</t>
  </si>
  <si>
    <t>Distributions</t>
  </si>
  <si>
    <t>Inference for Categorical Data</t>
  </si>
  <si>
    <t>Inference for Numerical Data</t>
  </si>
  <si>
    <t>Multiple Regression</t>
  </si>
  <si>
    <t>Bayesian Analysis</t>
  </si>
  <si>
    <t>Final Meetup</t>
  </si>
  <si>
    <t>Intro to the Course</t>
  </si>
  <si>
    <t>Chapter 4 - Distributions</t>
  </si>
  <si>
    <t>Chapter 8 - Linear Regression</t>
  </si>
  <si>
    <t>Chapter 1 - Intro to Data, R, and RStudio</t>
  </si>
  <si>
    <t>Slides</t>
  </si>
  <si>
    <t>Foundation for Inference</t>
  </si>
  <si>
    <t>Maximum Likelihood Estimation</t>
  </si>
  <si>
    <t>/chapters/chapter1.html</t>
  </si>
  <si>
    <t>/chapters/chapter2.html</t>
  </si>
  <si>
    <t>/chapters/chapter3.html</t>
  </si>
  <si>
    <t>/chapters/chapter4.html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</si>
  <si>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</si>
  <si>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</si>
  <si>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</si>
  <si>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</si>
  <si>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</si>
  <si>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</si>
  <si>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Video</t>
  </si>
  <si>
    <t>Chapter 9 - Multiple Regression</t>
  </si>
  <si>
    <t>Chapter 9 - Logistic Regression</t>
  </si>
  <si>
    <t>NumDays</t>
  </si>
  <si>
    <t>Spring Break - No Meetup</t>
  </si>
  <si>
    <t>Linear Regression</t>
  </si>
  <si>
    <t>Intro to Course</t>
  </si>
  <si>
    <t>Midterm</t>
  </si>
  <si>
    <t>No Meetup - Midterm</t>
  </si>
  <si>
    <t>Summarizing Data</t>
  </si>
  <si>
    <t>/chatpers/chapter2</t>
  </si>
  <si>
    <t>/chapters/chapter1</t>
  </si>
  <si>
    <t>00-Intro_to_Course</t>
  </si>
  <si>
    <t>H2Lrb8nt3CU</t>
  </si>
  <si>
    <t>01-Intro_to_Data</t>
  </si>
  <si>
    <t>lSEuvYEj7wA</t>
  </si>
  <si>
    <t>No Meetup</t>
  </si>
  <si>
    <t>02-Summarizing_Data</t>
  </si>
  <si>
    <t xml:space="preserve">letters
vowels &lt;- c('a', 'e', 'i', 'o', 'u')
letters %in% vowels
letters %in% vowels |&gt; which()
library(ggplot2)
library(brickset)
data(legosets)
ggplot(legosets, aes(x = US_retailPrice)) + geom_histogram()
ggplot(legosets, aes(x = US_retailPrice)) + geom_histogram(binwidth = 50)
ggplot(legosets, aes(x = US_retailPrice)) + geom_histogram(bins = 40)
ggplot(legosets, aes(x = US_retailPrice)) + geom_histogram()
ggplot(legosets, aes(x = US_retailPrice, fill = availability)) + geom_histogram()
ggplot(legosets, aes(x = US_retailPrice)) + geom_histogram(fill = 'white', color = 'purple')
</t>
  </si>
  <si>
    <t>58-rio8Micc</t>
  </si>
  <si>
    <t>N7Ol-6FKbGs</t>
  </si>
  <si>
    <t>03-Probability</t>
  </si>
  <si>
    <t>04-Distributions</t>
  </si>
  <si>
    <t>UJBjoXSHZMY</t>
  </si>
  <si>
    <t>05-Foundation_for_Inference</t>
  </si>
  <si>
    <t>almTgoS2BGM</t>
  </si>
  <si>
    <t>06-Inference_for_Categorical_Data</t>
  </si>
  <si>
    <t>SSxD2AFCCsY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</si>
</sst>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d;@"/>
    <numFmt numFmtId="165" formatCode="mmm\ dd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2" fillId="0" borderId="0" xfId="1"/>
    <xf numFmtId="1" fontId="0" fillId="0" borderId="0" xfId="0" applyNumberFormat="1" applyAlignment="1">
      <alignment horizontal="righ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H20"/>
  <sheetViews>
    <sheetView tabSelected="1" zoomScale="110" zoomScaleNormal="110" workbookViewId="0">
      <selection activeCell="F11" sqref="F11"/>
    </sheetView>
  </sheetViews>
  <sheetFormatPr baseColWidth="10" defaultRowHeight="16" x14ac:dyDescent="0.2"/>
  <cols>
    <col min="1" max="1" width="18.5" style="1" customWidth="1"/>
    <col min="2" max="2" width="18.5" style="3" customWidth="1"/>
    <col min="3" max="3" width="12.33203125" style="3" customWidth="1"/>
    <col min="4" max="4" width="33.5" bestFit="1" customWidth="1"/>
    <col min="5" max="5" width="26" customWidth="1"/>
    <col min="6" max="6" width="13.33203125" style="7" customWidth="1"/>
    <col min="7" max="7" width="33.6640625" customWidth="1"/>
    <col min="8" max="8" width="54" customWidth="1"/>
  </cols>
  <sheetData>
    <row r="1" spans="1:8" x14ac:dyDescent="0.2">
      <c r="A1" s="1" t="s">
        <v>0</v>
      </c>
      <c r="B1" s="3" t="s">
        <v>5</v>
      </c>
      <c r="C1" s="3" t="s">
        <v>6</v>
      </c>
      <c r="D1" t="s">
        <v>1</v>
      </c>
      <c r="E1" t="s">
        <v>9</v>
      </c>
      <c r="F1" s="7" t="s">
        <v>51</v>
      </c>
      <c r="G1" t="s">
        <v>38</v>
      </c>
      <c r="H1" t="s">
        <v>2</v>
      </c>
    </row>
    <row r="2" spans="1:8" x14ac:dyDescent="0.2">
      <c r="A2" s="1">
        <v>46048</v>
      </c>
      <c r="B2" s="3" t="s">
        <v>7</v>
      </c>
      <c r="C2" s="3" t="s">
        <v>8</v>
      </c>
      <c r="D2" t="s">
        <v>34</v>
      </c>
      <c r="F2" s="10" t="s">
        <v>64</v>
      </c>
      <c r="G2" t="s">
        <v>63</v>
      </c>
      <c r="H2" s="5"/>
    </row>
    <row r="3" spans="1:8" x14ac:dyDescent="0.2">
      <c r="A3" s="1">
        <v>46055</v>
      </c>
      <c r="B3" s="3" t="s">
        <v>7</v>
      </c>
      <c r="C3" s="3" t="s">
        <v>8</v>
      </c>
      <c r="D3" t="s">
        <v>26</v>
      </c>
      <c r="E3" t="s">
        <v>41</v>
      </c>
      <c r="F3" s="7" t="s">
        <v>66</v>
      </c>
      <c r="G3" t="s">
        <v>65</v>
      </c>
      <c r="H3" s="5"/>
    </row>
    <row r="4" spans="1:8" ht="36" customHeight="1" x14ac:dyDescent="0.2">
      <c r="A4" s="1">
        <f>A3+7</f>
        <v>46062</v>
      </c>
      <c r="B4" s="3" t="s">
        <v>7</v>
      </c>
      <c r="C4" s="3" t="s">
        <v>8</v>
      </c>
      <c r="D4" t="s">
        <v>60</v>
      </c>
      <c r="E4" t="s">
        <v>42</v>
      </c>
      <c r="F4" s="8" t="s">
        <v>70</v>
      </c>
      <c r="G4" t="s">
        <v>68</v>
      </c>
      <c r="H4" s="5" t="s">
        <v>69</v>
      </c>
    </row>
    <row r="5" spans="1:8" x14ac:dyDescent="0.2">
      <c r="A5" s="1">
        <f t="shared" ref="A5:A17" si="0">A4+7</f>
        <v>46069</v>
      </c>
      <c r="D5" t="s">
        <v>67</v>
      </c>
      <c r="H5" s="5"/>
    </row>
    <row r="6" spans="1:8" x14ac:dyDescent="0.2">
      <c r="A6" s="1">
        <f t="shared" si="0"/>
        <v>46076</v>
      </c>
      <c r="B6" s="3" t="s">
        <v>7</v>
      </c>
      <c r="C6" s="3" t="s">
        <v>8</v>
      </c>
      <c r="D6" t="s">
        <v>27</v>
      </c>
      <c r="E6" t="s">
        <v>43</v>
      </c>
      <c r="F6" s="8" t="s">
        <v>71</v>
      </c>
      <c r="G6" t="s">
        <v>72</v>
      </c>
      <c r="H6" s="4"/>
    </row>
    <row r="7" spans="1:8" x14ac:dyDescent="0.2">
      <c r="A7" s="1">
        <f t="shared" si="0"/>
        <v>46083</v>
      </c>
      <c r="B7" s="3" t="s">
        <v>7</v>
      </c>
      <c r="C7" s="3" t="s">
        <v>8</v>
      </c>
      <c r="D7" t="s">
        <v>28</v>
      </c>
      <c r="E7" t="s">
        <v>44</v>
      </c>
      <c r="F7" s="7" t="s">
        <v>74</v>
      </c>
      <c r="G7" t="s">
        <v>73</v>
      </c>
      <c r="H7" s="5"/>
    </row>
    <row r="8" spans="1:8" x14ac:dyDescent="0.2">
      <c r="A8" s="1">
        <f t="shared" si="0"/>
        <v>46090</v>
      </c>
      <c r="B8" s="3" t="s">
        <v>7</v>
      </c>
      <c r="C8" s="3" t="s">
        <v>8</v>
      </c>
      <c r="D8" t="s">
        <v>39</v>
      </c>
      <c r="E8" t="s">
        <v>45</v>
      </c>
      <c r="F8" s="7" t="s">
        <v>76</v>
      </c>
      <c r="G8" t="s">
        <v>75</v>
      </c>
      <c r="H8" s="6"/>
    </row>
    <row r="9" spans="1:8" x14ac:dyDescent="0.2">
      <c r="A9" s="1">
        <f t="shared" si="0"/>
        <v>46097</v>
      </c>
      <c r="D9" t="s">
        <v>59</v>
      </c>
      <c r="H9" s="4"/>
    </row>
    <row r="10" spans="1:8" x14ac:dyDescent="0.2">
      <c r="A10" s="1">
        <f t="shared" si="0"/>
        <v>46104</v>
      </c>
      <c r="B10" s="3" t="s">
        <v>7</v>
      </c>
      <c r="C10" s="3" t="s">
        <v>8</v>
      </c>
      <c r="D10" t="s">
        <v>29</v>
      </c>
      <c r="E10" t="s">
        <v>46</v>
      </c>
      <c r="F10" s="7" t="s">
        <v>78</v>
      </c>
      <c r="G10" t="s">
        <v>77</v>
      </c>
      <c r="H10" s="4"/>
    </row>
    <row r="11" spans="1:8" x14ac:dyDescent="0.2">
      <c r="A11" s="1">
        <f t="shared" si="0"/>
        <v>46111</v>
      </c>
      <c r="B11" s="3" t="s">
        <v>7</v>
      </c>
      <c r="C11" s="3" t="s">
        <v>8</v>
      </c>
      <c r="D11" t="s">
        <v>30</v>
      </c>
      <c r="E11" t="s">
        <v>47</v>
      </c>
      <c r="H11" s="4"/>
    </row>
    <row r="12" spans="1:8" x14ac:dyDescent="0.2">
      <c r="A12" s="1">
        <f t="shared" si="0"/>
        <v>46118</v>
      </c>
      <c r="D12" t="s">
        <v>55</v>
      </c>
      <c r="H12" s="6"/>
    </row>
    <row r="13" spans="1:8" x14ac:dyDescent="0.2">
      <c r="A13" s="1">
        <f t="shared" si="0"/>
        <v>46125</v>
      </c>
      <c r="B13" s="3" t="s">
        <v>7</v>
      </c>
      <c r="C13" s="3" t="s">
        <v>8</v>
      </c>
      <c r="D13" t="s">
        <v>56</v>
      </c>
      <c r="E13" t="s">
        <v>48</v>
      </c>
      <c r="H13" s="4"/>
    </row>
    <row r="14" spans="1:8" x14ac:dyDescent="0.2">
      <c r="A14" s="1">
        <f t="shared" si="0"/>
        <v>46132</v>
      </c>
      <c r="B14" s="3" t="s">
        <v>7</v>
      </c>
      <c r="C14" s="3" t="s">
        <v>8</v>
      </c>
      <c r="D14" t="s">
        <v>40</v>
      </c>
      <c r="E14" t="s">
        <v>49</v>
      </c>
      <c r="H14" s="8"/>
    </row>
    <row r="15" spans="1:8" x14ac:dyDescent="0.2">
      <c r="A15" s="1">
        <f t="shared" si="0"/>
        <v>46139</v>
      </c>
      <c r="B15" s="3" t="s">
        <v>7</v>
      </c>
      <c r="C15" s="3" t="s">
        <v>8</v>
      </c>
      <c r="D15" t="s">
        <v>31</v>
      </c>
      <c r="E15" t="s">
        <v>49</v>
      </c>
      <c r="H15" s="4"/>
    </row>
    <row r="16" spans="1:8" x14ac:dyDescent="0.2">
      <c r="A16" s="1">
        <f t="shared" si="0"/>
        <v>46146</v>
      </c>
      <c r="B16" s="3" t="s">
        <v>7</v>
      </c>
      <c r="C16" s="3" t="s">
        <v>8</v>
      </c>
      <c r="D16" t="s">
        <v>32</v>
      </c>
      <c r="E16" t="s">
        <v>50</v>
      </c>
      <c r="H16" s="6"/>
    </row>
    <row r="17" spans="1:8" x14ac:dyDescent="0.2">
      <c r="A17" s="1">
        <f t="shared" si="0"/>
        <v>46153</v>
      </c>
      <c r="B17" s="3" t="s">
        <v>7</v>
      </c>
      <c r="C17" s="3" t="s">
        <v>8</v>
      </c>
      <c r="D17" t="s">
        <v>33</v>
      </c>
      <c r="H17" s="4"/>
    </row>
    <row r="18" spans="1:8" x14ac:dyDescent="0.2">
      <c r="H18" s="4"/>
    </row>
    <row r="19" spans="1:8" x14ac:dyDescent="0.2">
      <c r="H19" s="4"/>
    </row>
    <row r="20" spans="1:8" x14ac:dyDescent="0.2">
      <c r="H20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FB80-52EB-7F41-88A6-58F30ED23B0C}">
  <dimension ref="A1:E15"/>
  <sheetViews>
    <sheetView zoomScale="120" zoomScaleNormal="120" workbookViewId="0">
      <selection activeCell="E9" sqref="E9:E11"/>
    </sheetView>
  </sheetViews>
  <sheetFormatPr baseColWidth="10" defaultRowHeight="16" x14ac:dyDescent="0.2"/>
  <cols>
    <col min="1" max="1" width="12.6640625" style="2" bestFit="1" customWidth="1"/>
    <col min="2" max="2" width="12.6640625" style="9" customWidth="1"/>
    <col min="3" max="3" width="10.83203125" style="2"/>
    <col min="4" max="4" width="46.5" customWidth="1"/>
    <col min="5" max="5" width="22.5" bestFit="1" customWidth="1"/>
  </cols>
  <sheetData>
    <row r="1" spans="1:5" x14ac:dyDescent="0.2">
      <c r="A1" s="2" t="s">
        <v>3</v>
      </c>
      <c r="B1" s="9" t="s">
        <v>54</v>
      </c>
      <c r="C1" s="2" t="s">
        <v>4</v>
      </c>
      <c r="D1" t="s">
        <v>1</v>
      </c>
      <c r="E1" t="s">
        <v>9</v>
      </c>
    </row>
    <row r="2" spans="1:5" x14ac:dyDescent="0.2">
      <c r="A2" s="1">
        <v>46048</v>
      </c>
      <c r="B2" s="9">
        <v>7</v>
      </c>
      <c r="C2" s="2">
        <f>A2+B2-1</f>
        <v>46054</v>
      </c>
      <c r="D2" t="s">
        <v>57</v>
      </c>
    </row>
    <row r="3" spans="1:5" x14ac:dyDescent="0.2">
      <c r="A3" s="1">
        <f>C2+1</f>
        <v>46055</v>
      </c>
      <c r="B3" s="9">
        <v>14</v>
      </c>
      <c r="C3" s="2">
        <f t="shared" ref="C3:C15" si="0">A3+B3-1</f>
        <v>46068</v>
      </c>
      <c r="D3" t="s">
        <v>37</v>
      </c>
      <c r="E3" t="s">
        <v>62</v>
      </c>
    </row>
    <row r="4" spans="1:5" x14ac:dyDescent="0.2">
      <c r="A4" s="1">
        <f t="shared" ref="A4:A15" si="1">C3+1</f>
        <v>46069</v>
      </c>
      <c r="B4" s="9">
        <v>7</v>
      </c>
      <c r="C4" s="2">
        <f t="shared" si="0"/>
        <v>46075</v>
      </c>
      <c r="D4" t="s">
        <v>10</v>
      </c>
      <c r="E4" t="s">
        <v>61</v>
      </c>
    </row>
    <row r="5" spans="1:5" x14ac:dyDescent="0.2">
      <c r="A5" s="1">
        <f t="shared" si="1"/>
        <v>46076</v>
      </c>
      <c r="B5" s="9">
        <v>7</v>
      </c>
      <c r="C5" s="2">
        <f t="shared" si="0"/>
        <v>46082</v>
      </c>
      <c r="D5" t="s">
        <v>11</v>
      </c>
      <c r="E5" t="s">
        <v>19</v>
      </c>
    </row>
    <row r="6" spans="1:5" x14ac:dyDescent="0.2">
      <c r="A6" s="1">
        <f t="shared" si="1"/>
        <v>46083</v>
      </c>
      <c r="B6" s="9">
        <v>7</v>
      </c>
      <c r="C6" s="2">
        <f t="shared" si="0"/>
        <v>46089</v>
      </c>
      <c r="D6" t="s">
        <v>35</v>
      </c>
      <c r="E6" t="s">
        <v>20</v>
      </c>
    </row>
    <row r="7" spans="1:5" x14ac:dyDescent="0.2">
      <c r="A7" s="1">
        <f t="shared" si="1"/>
        <v>46090</v>
      </c>
      <c r="B7" s="9">
        <v>7</v>
      </c>
      <c r="C7" s="2">
        <f t="shared" si="0"/>
        <v>46096</v>
      </c>
      <c r="D7" t="s">
        <v>12</v>
      </c>
      <c r="E7" t="s">
        <v>22</v>
      </c>
    </row>
    <row r="8" spans="1:5" x14ac:dyDescent="0.2">
      <c r="A8" s="1">
        <f t="shared" si="1"/>
        <v>46097</v>
      </c>
      <c r="B8" s="9">
        <v>7</v>
      </c>
      <c r="C8" s="2">
        <f t="shared" si="0"/>
        <v>46103</v>
      </c>
      <c r="D8" t="s">
        <v>58</v>
      </c>
    </row>
    <row r="9" spans="1:5" x14ac:dyDescent="0.2">
      <c r="A9" s="1">
        <f t="shared" si="1"/>
        <v>46104</v>
      </c>
      <c r="B9" s="9">
        <v>14</v>
      </c>
      <c r="C9" s="2">
        <f t="shared" si="0"/>
        <v>46117</v>
      </c>
      <c r="D9" t="s">
        <v>13</v>
      </c>
      <c r="E9" t="s">
        <v>21</v>
      </c>
    </row>
    <row r="10" spans="1:5" x14ac:dyDescent="0.2">
      <c r="A10" s="1">
        <f t="shared" si="1"/>
        <v>46118</v>
      </c>
      <c r="B10" s="9">
        <v>7</v>
      </c>
      <c r="C10" s="2">
        <f t="shared" si="0"/>
        <v>46124</v>
      </c>
      <c r="D10" t="s">
        <v>14</v>
      </c>
      <c r="E10" t="s">
        <v>23</v>
      </c>
    </row>
    <row r="11" spans="1:5" x14ac:dyDescent="0.2">
      <c r="A11" s="1">
        <f t="shared" si="1"/>
        <v>46125</v>
      </c>
      <c r="B11" s="9">
        <v>7</v>
      </c>
      <c r="C11" s="2">
        <f t="shared" si="0"/>
        <v>46131</v>
      </c>
      <c r="D11" t="s">
        <v>36</v>
      </c>
      <c r="E11" t="s">
        <v>24</v>
      </c>
    </row>
    <row r="12" spans="1:5" x14ac:dyDescent="0.2">
      <c r="A12" s="1">
        <f t="shared" si="1"/>
        <v>46132</v>
      </c>
      <c r="B12" s="9">
        <v>7</v>
      </c>
      <c r="C12" s="2">
        <f t="shared" si="0"/>
        <v>46138</v>
      </c>
      <c r="D12" t="s">
        <v>53</v>
      </c>
      <c r="E12" t="s">
        <v>25</v>
      </c>
    </row>
    <row r="13" spans="1:5" x14ac:dyDescent="0.2">
      <c r="A13" s="1">
        <f t="shared" si="1"/>
        <v>46139</v>
      </c>
      <c r="B13" s="9">
        <v>7</v>
      </c>
      <c r="C13" s="2">
        <f t="shared" si="0"/>
        <v>46145</v>
      </c>
      <c r="D13" t="s">
        <v>52</v>
      </c>
      <c r="E13" t="s">
        <v>25</v>
      </c>
    </row>
    <row r="14" spans="1:5" x14ac:dyDescent="0.2">
      <c r="A14" s="1">
        <f t="shared" si="1"/>
        <v>46146</v>
      </c>
      <c r="B14" s="9">
        <v>7</v>
      </c>
      <c r="C14" s="2">
        <f t="shared" si="0"/>
        <v>46152</v>
      </c>
      <c r="D14" t="s">
        <v>16</v>
      </c>
      <c r="E14" t="s">
        <v>15</v>
      </c>
    </row>
    <row r="15" spans="1:5" x14ac:dyDescent="0.2">
      <c r="A15" s="1">
        <f t="shared" si="1"/>
        <v>46153</v>
      </c>
      <c r="B15" s="9">
        <v>7</v>
      </c>
      <c r="C15" s="2">
        <f t="shared" si="0"/>
        <v>46159</v>
      </c>
      <c r="D15" t="s">
        <v>18</v>
      </c>
      <c r="E15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Meetups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2026-03-24T01:19:58Z</dcterms:modified>
</cp:coreProperties>
</file>